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-120" yWindow="-120" windowWidth="29040" windowHeight="15720"/>
  </bookViews>
  <sheets>
    <sheet name=" акт заполняем первым" sheetId="2" r:id="rId1"/>
    <sheet name="Лист осмотра КЛ заполняем втор" sheetId="1" r:id="rId2"/>
  </sheets>
  <externalReferences>
    <externalReference r:id="rId3"/>
  </externalReferences>
  <definedNames>
    <definedName name="_xlnm.Print_Titles" localSheetId="1">'Лист осмотра КЛ заполняем втор'!$7:$8</definedName>
    <definedName name="_xlnm.Print_Area" localSheetId="0">' акт заполняем первым'!$A$1:$I$68</definedName>
    <definedName name="_xlnm.Print_Area" localSheetId="1">'Лист осмотра КЛ заполняем втор'!$A$1:$R$20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F10" i="2" l="1"/>
  <c r="H28" i="2" l="1"/>
  <c r="B68" i="2" s="1"/>
  <c r="D28" i="2"/>
  <c r="B28" i="2"/>
  <c r="H26" i="2"/>
  <c r="B67" i="2" s="1"/>
  <c r="D26" i="2"/>
  <c r="B26" i="2"/>
  <c r="H22" i="2"/>
  <c r="B65" i="2" s="1"/>
  <c r="H24" i="2"/>
  <c r="B66" i="2" s="1"/>
  <c r="D24" i="2"/>
  <c r="B24" i="2"/>
  <c r="H20" i="2"/>
  <c r="D20" i="2"/>
  <c r="B20" i="2"/>
  <c r="B22" i="2"/>
  <c r="D22" i="2"/>
  <c r="C19" i="1" l="1"/>
  <c r="B64" i="2"/>
  <c r="D12" i="1" l="1"/>
  <c r="C16" i="1" l="1"/>
  <c r="D5" i="1" l="1"/>
  <c r="M9" i="1" l="1"/>
  <c r="L9" i="1"/>
  <c r="A19" i="1"/>
  <c r="A16" i="1"/>
</calcChain>
</file>

<file path=xl/sharedStrings.xml><?xml version="1.0" encoding="utf-8"?>
<sst xmlns="http://schemas.openxmlformats.org/spreadsheetml/2006/main" count="90" uniqueCount="74">
  <si>
    <t xml:space="preserve">                                                                                         (должность)  (Ф.И.О.)  (подпись)</t>
  </si>
  <si>
    <t>№ пп.</t>
  </si>
  <si>
    <t>Год ввода в эксплуатацию*</t>
  </si>
  <si>
    <t>Осмотр проведен:</t>
  </si>
  <si>
    <t>1. Представитель ПАО "Россети Волга"</t>
  </si>
  <si>
    <t xml:space="preserve">ОБЪЕКТОВ ЭЛЕКТРОСЕТЕВОГО ХОЗЯЙСТВА КЛ 0,4-10 кВ </t>
  </si>
  <si>
    <t>Диспетчерское наименование</t>
  </si>
  <si>
    <t>Инвентарный номер</t>
  </si>
  <si>
    <t>Сечение (кв мм)</t>
  </si>
  <si>
    <t>Напряжение (кв)</t>
  </si>
  <si>
    <t>номин</t>
  </si>
  <si>
    <t>рабочее</t>
  </si>
  <si>
    <t>Длинна             м</t>
  </si>
  <si>
    <t>Соединительные муфты</t>
  </si>
  <si>
    <t>к-во</t>
  </si>
  <si>
    <t>тип</t>
  </si>
  <si>
    <t>Широта</t>
  </si>
  <si>
    <t>Долгота</t>
  </si>
  <si>
    <t>Тип концевых разделок (КВЕН, КВБ, КВЭд)</t>
  </si>
  <si>
    <t>Дефект: "№ номер замечания"  (см Приложение)</t>
  </si>
  <si>
    <t>Координаты начала КЛ</t>
  </si>
  <si>
    <t>Координаты окончания КЛ</t>
  </si>
  <si>
    <t xml:space="preserve">                                                                                 (должность)  (Ф.И.О.)  (подпись)</t>
  </si>
  <si>
    <t>2. Представитель АО "УльГЭС"</t>
  </si>
  <si>
    <t xml:space="preserve">Марка провода (кабеля) </t>
  </si>
  <si>
    <t>АКТ ИНВЕНТАРИЗАЦИИ (ТЕХНИЧЕСКОГО АУДИТА)</t>
  </si>
  <si>
    <t>в рамках исполнения Федерального закона от 13.07.2024 №185-ФЗ «О внесении изменений в Федеральный закон «Об электроэнергетике» и отдельные законодательные акты Российской Федерации»</t>
  </si>
  <si>
    <t>Диспетчерское наименование объекта:</t>
  </si>
  <si>
    <t>Субъект РФ (муниципальный район, населенный пункт):</t>
  </si>
  <si>
    <t xml:space="preserve">г. Ульяновск </t>
  </si>
  <si>
    <t xml:space="preserve">Дата осмотра </t>
  </si>
  <si>
    <t>(формат - дд.мм.гггг):</t>
  </si>
  <si>
    <t>Наименование владельца (законного собственника) объекта, правовая форма:</t>
  </si>
  <si>
    <t>Наименование организации, эксплуатирующей объект:</t>
  </si>
  <si>
    <t>Филиал ПАО «Россети Волга» - «УРС» - «ЦПО»</t>
  </si>
  <si>
    <t>Тип оборудования и номинальное напряжения объекта:</t>
  </si>
  <si>
    <t>Основание осмотра (требование НПА):</t>
  </si>
  <si>
    <r>
      <t xml:space="preserve">Договор ДоПИ </t>
    </r>
    <r>
      <rPr>
        <b/>
        <i/>
        <sz val="12"/>
        <color rgb="FF22272F"/>
        <rFont val="Times New Roman"/>
        <family val="1"/>
        <charset val="204"/>
      </rPr>
      <t>№2470-003130 от 29.12.2025</t>
    </r>
  </si>
  <si>
    <t>Адрес (место) размещения объекта электроэнергетики:</t>
  </si>
  <si>
    <r>
      <t> </t>
    </r>
    <r>
      <rPr>
        <b/>
        <sz val="11"/>
        <color rgb="FF22272F"/>
        <rFont val="Times New Roman"/>
        <family val="1"/>
        <charset val="204"/>
      </rPr>
      <t>Комиссия в составе:</t>
    </r>
  </si>
  <si>
    <t>должность</t>
  </si>
  <si>
    <t>организация</t>
  </si>
  <si>
    <t>Ф.И.О. полностью</t>
  </si>
  <si>
    <t xml:space="preserve">При необходимости указать дополнительную информацию, то допускает указывать её в комментариях. </t>
  </si>
  <si>
    <r>
      <t xml:space="preserve">Комиссией осмотрено следующее оборудование (элементы) в составе </t>
    </r>
    <r>
      <rPr>
        <b/>
        <sz val="11.5"/>
        <color rgb="FF22272F"/>
        <rFont val="Times New Roman"/>
        <family val="1"/>
        <charset val="204"/>
      </rPr>
      <t>объекта:</t>
    </r>
  </si>
  <si>
    <t>№</t>
  </si>
  <si>
    <t>Тип оборудования</t>
  </si>
  <si>
    <t>Параметры</t>
  </si>
  <si>
    <t>(мощность, материал, и т.п.)</t>
  </si>
  <si>
    <t>Ед. изм.</t>
  </si>
  <si>
    <t>Кол-во</t>
  </si>
  <si>
    <t>Места установки оборудования (элементов)</t>
  </si>
  <si>
    <t xml:space="preserve">       Кабельная линия</t>
  </si>
  <si>
    <t>км</t>
  </si>
  <si>
    <r>
      <t>Примечание:</t>
    </r>
    <r>
      <rPr>
        <sz val="11"/>
        <color rgb="FF22272F"/>
        <rFont val="Times New Roman"/>
        <family val="1"/>
        <charset val="204"/>
      </rPr>
      <t xml:space="preserve"> В случае не достаточного количества строчек заполняется еще один Акт под тем же номером, об этом делается отметка в особом мнении. </t>
    </r>
  </si>
  <si>
    <r>
      <t>Комментарий / особое мнение</t>
    </r>
    <r>
      <rPr>
        <b/>
        <sz val="11.5"/>
        <color rgb="FF22272F"/>
        <rFont val="Times New Roman"/>
        <family val="1"/>
        <charset val="204"/>
      </rPr>
      <t>:</t>
    </r>
  </si>
  <si>
    <t xml:space="preserve">Подписи: </t>
  </si>
  <si>
    <t>Ф.И.О.</t>
  </si>
  <si>
    <t>подпись</t>
  </si>
  <si>
    <t>дата</t>
  </si>
  <si>
    <t xml:space="preserve">№ </t>
  </si>
  <si>
    <t xml:space="preserve"> кВ</t>
  </si>
  <si>
    <t xml:space="preserve">Лицевая сторона
</t>
  </si>
  <si>
    <t xml:space="preserve">                                                                                          номер                                                       дата</t>
  </si>
  <si>
    <t>Обратная сторона</t>
  </si>
  <si>
    <t>КЛ -</t>
  </si>
  <si>
    <t>ЧЕК-ЛИСТ ОСМОТРА №</t>
  </si>
  <si>
    <t xml:space="preserve">Адрес места расположения электросетевого объекта: </t>
  </si>
  <si>
    <t>Уровень напряжения электросетевого объекта, кВ:</t>
  </si>
  <si>
    <t xml:space="preserve">Общая протяженность КЛ по трассе составляет </t>
  </si>
  <si>
    <t xml:space="preserve">от </t>
  </si>
  <si>
    <t>Ульяновская область</t>
  </si>
  <si>
    <t>___</t>
  </si>
  <si>
    <t xml:space="preserve">Количество экземпляров оформляется по количеству сторон, участвующих в осмотре объекта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</si>
</sst>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[$-FC19]dd\ mmmm\ yyyy\ \г\.;@"/>
  </numFmts>
  <fonts count="31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22272F"/>
      <name val="Times New Roman"/>
      <family val="1"/>
      <charset val="204"/>
    </font>
    <font>
      <b/>
      <u/>
      <sz val="12"/>
      <color rgb="FF22272F"/>
      <name val="Times New Roman"/>
      <family val="1"/>
      <charset val="204"/>
    </font>
    <font>
      <i/>
      <vertAlign val="superscript"/>
      <sz val="12"/>
      <color rgb="FF22272F"/>
      <name val="Times New Roman"/>
      <family val="1"/>
      <charset val="204"/>
    </font>
    <font>
      <sz val="11.5"/>
      <color rgb="FF22272F"/>
      <name val="Times New Roman"/>
      <family val="1"/>
      <charset val="204"/>
    </font>
    <font>
      <b/>
      <sz val="10"/>
      <color rgb="FF22272F"/>
      <name val="Times New Roman"/>
      <family val="1"/>
      <charset val="204"/>
    </font>
    <font>
      <b/>
      <i/>
      <sz val="11"/>
      <color rgb="FF22272F"/>
      <name val="Times New Roman"/>
      <family val="1"/>
      <charset val="204"/>
    </font>
    <font>
      <sz val="10"/>
      <color rgb="FF22272F"/>
      <name val="Times New Roman"/>
      <family val="1"/>
      <charset val="204"/>
    </font>
    <font>
      <b/>
      <i/>
      <sz val="12"/>
      <color rgb="FF22272F"/>
      <name val="Times New Roman"/>
      <family val="1"/>
      <charset val="204"/>
    </font>
    <font>
      <sz val="11"/>
      <color rgb="FF22272F"/>
      <name val="Times New Roman"/>
      <family val="1"/>
      <charset val="204"/>
    </font>
    <font>
      <b/>
      <sz val="11"/>
      <color rgb="FF22272F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vertAlign val="superscript"/>
      <sz val="11"/>
      <color rgb="FF22272F"/>
      <name val="Times New Roman"/>
      <family val="1"/>
      <charset val="204"/>
    </font>
    <font>
      <b/>
      <sz val="11.5"/>
      <color rgb="FF22272F"/>
      <name val="Times New Roman"/>
      <family val="1"/>
      <charset val="204"/>
    </font>
    <font>
      <b/>
      <i/>
      <sz val="14"/>
      <color rgb="FF22272F"/>
      <name val="Times New Roman"/>
      <family val="1"/>
      <charset val="204"/>
    </font>
    <font>
      <i/>
      <sz val="10"/>
      <color rgb="FF22272F"/>
      <name val="Times New Roman"/>
      <family val="1"/>
      <charset val="204"/>
    </font>
    <font>
      <b/>
      <i/>
      <sz val="10"/>
      <color rgb="FF22272F"/>
      <name val="Times New Roman"/>
      <family val="1"/>
      <charset val="204"/>
    </font>
    <font>
      <i/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i/>
      <sz val="11"/>
      <color rgb="FFFF000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b/>
      <i/>
      <sz val="9"/>
      <color rgb="FF22272F"/>
      <name val="Times New Roman"/>
      <family val="1"/>
      <charset val="204"/>
    </font>
    <font>
      <sz val="8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justify" vertical="center"/>
    </xf>
    <xf numFmtId="0" fontId="2" fillId="0" borderId="0" xfId="0" applyFont="1" applyAlignment="1">
      <alignment horizontal="justify" vertical="center"/>
    </xf>
    <xf numFmtId="0" fontId="22" fillId="0" borderId="1" xfId="0" applyFont="1" applyBorder="1" applyAlignment="1">
      <alignment horizontal="center" vertical="center" wrapText="1"/>
    </xf>
    <xf numFmtId="164" fontId="16" fillId="0" borderId="1" xfId="0" applyNumberFormat="1" applyFont="1" applyBorder="1" applyAlignment="1">
      <alignment horizontal="justify" vertical="center" wrapText="1"/>
    </xf>
    <xf numFmtId="0" fontId="16" fillId="0" borderId="1" xfId="0" applyFont="1" applyBorder="1" applyAlignment="1">
      <alignment horizontal="center" vertical="center"/>
    </xf>
    <xf numFmtId="0" fontId="14" fillId="0" borderId="7" xfId="0" applyFont="1" applyBorder="1" applyAlignment="1">
      <alignment vertical="center" wrapText="1"/>
    </xf>
    <xf numFmtId="0" fontId="16" fillId="0" borderId="8" xfId="0" applyFont="1" applyBorder="1" applyAlignment="1">
      <alignment horizontal="justify" vertical="center" wrapText="1"/>
    </xf>
    <xf numFmtId="0" fontId="14" fillId="0" borderId="14" xfId="0" applyFont="1" applyBorder="1" applyAlignment="1">
      <alignment horizontal="right" vertical="center" wrapText="1"/>
    </xf>
    <xf numFmtId="0" fontId="16" fillId="0" borderId="8" xfId="0" applyFont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4" fillId="0" borderId="14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10" fillId="0" borderId="0" xfId="0" applyFont="1" applyAlignment="1">
      <alignment horizontal="right" vertical="center"/>
    </xf>
    <xf numFmtId="0" fontId="14" fillId="0" borderId="7" xfId="0" applyFont="1" applyBorder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" fillId="0" borderId="0" xfId="0" applyFont="1" applyAlignment="1">
      <alignment wrapText="1"/>
    </xf>
    <xf numFmtId="0" fontId="1" fillId="0" borderId="0" xfId="0" applyFont="1"/>
    <xf numFmtId="0" fontId="4" fillId="0" borderId="0" xfId="0" applyFont="1" applyAlignment="1">
      <alignment vertical="center"/>
    </xf>
    <xf numFmtId="0" fontId="4" fillId="0" borderId="13" xfId="0" applyFont="1" applyBorder="1" applyAlignment="1">
      <alignment horizontal="left" vertical="center"/>
    </xf>
    <xf numFmtId="0" fontId="25" fillId="0" borderId="1" xfId="0" applyFont="1" applyBorder="1" applyAlignment="1">
      <alignment horizontal="center" vertical="center"/>
    </xf>
    <xf numFmtId="0" fontId="25" fillId="0" borderId="7" xfId="0" applyFont="1" applyBorder="1" applyAlignment="1">
      <alignment horizontal="center" vertical="center"/>
    </xf>
    <xf numFmtId="164" fontId="1" fillId="0" borderId="0" xfId="0" applyNumberFormat="1" applyFont="1" applyAlignment="1">
      <alignment vertical="center"/>
    </xf>
    <xf numFmtId="0" fontId="26" fillId="0" borderId="13" xfId="0" applyFont="1" applyBorder="1" applyAlignment="1">
      <alignment vertical="center"/>
    </xf>
    <xf numFmtId="0" fontId="27" fillId="0" borderId="7" xfId="0" applyFont="1" applyBorder="1" applyAlignment="1">
      <alignment horizontal="right" vertical="center" wrapText="1"/>
    </xf>
    <xf numFmtId="164" fontId="28" fillId="0" borderId="1" xfId="0" applyNumberFormat="1" applyFont="1" applyBorder="1" applyAlignment="1">
      <alignment horizontal="justify" vertical="center" wrapText="1"/>
    </xf>
    <xf numFmtId="0" fontId="5" fillId="0" borderId="0" xfId="0" applyFont="1" applyAlignment="1">
      <alignment vertical="center"/>
    </xf>
    <xf numFmtId="14" fontId="28" fillId="0" borderId="5" xfId="0" applyNumberFormat="1" applyFont="1" applyBorder="1" applyAlignment="1">
      <alignment vertical="center"/>
    </xf>
    <xf numFmtId="14" fontId="28" fillId="0" borderId="4" xfId="0" applyNumberFormat="1" applyFont="1" applyBorder="1" applyAlignment="1">
      <alignment vertical="center"/>
    </xf>
    <xf numFmtId="14" fontId="28" fillId="0" borderId="10" xfId="0" applyNumberFormat="1" applyFont="1" applyBorder="1" applyAlignment="1">
      <alignment vertical="center"/>
    </xf>
    <xf numFmtId="14" fontId="28" fillId="0" borderId="6" xfId="0" applyNumberFormat="1" applyFont="1" applyBorder="1" applyAlignment="1">
      <alignment vertical="center"/>
    </xf>
    <xf numFmtId="12" fontId="28" fillId="0" borderId="13" xfId="0" applyNumberFormat="1" applyFont="1" applyBorder="1" applyAlignment="1">
      <alignment horizontal="right" vertical="center"/>
    </xf>
    <xf numFmtId="0" fontId="1" fillId="0" borderId="13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27" fillId="0" borderId="14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23" fillId="0" borderId="0" xfId="0" applyFont="1" applyAlignment="1">
      <alignment horizontal="left" vertical="center"/>
    </xf>
    <xf numFmtId="0" fontId="1" fillId="0" borderId="0" xfId="0" applyFont="1" applyAlignment="1">
      <alignment vertical="top" wrapText="1"/>
    </xf>
    <xf numFmtId="0" fontId="15" fillId="0" borderId="6" xfId="0" applyFont="1" applyBorder="1" applyAlignment="1">
      <alignment horizontal="left" vertical="center" wrapText="1"/>
    </xf>
    <xf numFmtId="0" fontId="15" fillId="0" borderId="12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20" fillId="0" borderId="7" xfId="0" applyFont="1" applyBorder="1" applyAlignment="1">
      <alignment horizontal="center" vertical="top"/>
    </xf>
    <xf numFmtId="0" fontId="20" fillId="0" borderId="8" xfId="0" applyFont="1" applyBorder="1" applyAlignment="1">
      <alignment horizontal="center" vertical="top"/>
    </xf>
    <xf numFmtId="0" fontId="6" fillId="0" borderId="7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top"/>
    </xf>
    <xf numFmtId="0" fontId="19" fillId="0" borderId="8" xfId="0" applyFont="1" applyBorder="1" applyAlignment="1">
      <alignment horizontal="center" vertical="top"/>
    </xf>
    <xf numFmtId="0" fontId="15" fillId="0" borderId="5" xfId="0" applyFont="1" applyBorder="1" applyAlignment="1">
      <alignment horizontal="left" vertical="center" wrapText="1"/>
    </xf>
    <xf numFmtId="0" fontId="15" fillId="0" borderId="10" xfId="0" applyFont="1" applyBorder="1" applyAlignment="1">
      <alignment horizontal="left" vertical="center" wrapText="1"/>
    </xf>
    <xf numFmtId="0" fontId="15" fillId="0" borderId="9" xfId="0" applyFont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top"/>
    </xf>
    <xf numFmtId="0" fontId="15" fillId="0" borderId="7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center"/>
    </xf>
    <xf numFmtId="0" fontId="27" fillId="0" borderId="7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65" fontId="26" fillId="0" borderId="13" xfId="0" applyNumberFormat="1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24" fillId="0" borderId="7" xfId="0" applyFont="1" applyBorder="1" applyAlignment="1">
      <alignment horizontal="right" vertical="center" wrapText="1"/>
    </xf>
    <xf numFmtId="0" fontId="24" fillId="0" borderId="14" xfId="0" applyFont="1" applyBorder="1" applyAlignment="1">
      <alignment horizontal="right" vertical="center" wrapText="1"/>
    </xf>
    <xf numFmtId="0" fontId="28" fillId="0" borderId="9" xfId="0" applyFont="1" applyBorder="1" applyAlignment="1">
      <alignment horizontal="left" vertical="top"/>
    </xf>
    <xf numFmtId="0" fontId="28" fillId="0" borderId="0" xfId="0" applyFont="1" applyAlignment="1">
      <alignment horizontal="left" vertical="top"/>
    </xf>
    <xf numFmtId="0" fontId="28" fillId="0" borderId="11" xfId="0" applyFont="1" applyBorder="1" applyAlignment="1">
      <alignment horizontal="left" vertical="top"/>
    </xf>
    <xf numFmtId="0" fontId="14" fillId="0" borderId="6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top"/>
    </xf>
    <xf numFmtId="0" fontId="6" fillId="0" borderId="4" xfId="0" applyFont="1" applyBorder="1" applyAlignment="1">
      <alignment horizontal="left" vertical="top"/>
    </xf>
    <xf numFmtId="0" fontId="17" fillId="0" borderId="0" xfId="0" applyFont="1" applyAlignment="1">
      <alignment horizontal="left" vertical="center"/>
    </xf>
    <xf numFmtId="0" fontId="18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left" vertical="center" wrapText="1"/>
    </xf>
    <xf numFmtId="0" fontId="18" fillId="0" borderId="0" xfId="0" applyFont="1" applyAlignment="1">
      <alignment horizontal="left" vertical="center"/>
    </xf>
    <xf numFmtId="0" fontId="0" fillId="0" borderId="1" xfId="0" applyBorder="1" applyAlignment="1">
      <alignment horizontal="center"/>
    </xf>
    <xf numFmtId="0" fontId="18" fillId="0" borderId="5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top"/>
    </xf>
    <xf numFmtId="0" fontId="30" fillId="0" borderId="0" xfId="0" applyFont="1" applyAlignment="1">
      <alignment horizontal="left" vertical="top" wrapText="1"/>
    </xf>
    <xf numFmtId="14" fontId="28" fillId="0" borderId="13" xfId="0" applyNumberFormat="1" applyFont="1" applyBorder="1" applyAlignment="1">
      <alignment horizontal="left" vertical="center"/>
    </xf>
    <xf numFmtId="14" fontId="28" fillId="0" borderId="12" xfId="0" applyNumberFormat="1" applyFont="1" applyBorder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18" fillId="0" borderId="4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4" xfId="0" applyFont="1" applyBorder="1" applyAlignment="1">
      <alignment horizontal="left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4" fontId="1" fillId="0" borderId="13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2895600</xdr:colOff>
      <xdr:row>0</xdr:row>
      <xdr:rowOff>38100</xdr:rowOff>
    </xdr:from>
    <xdr:to>
      <xdr:col>5</xdr:col>
      <xdr:colOff>4238625</xdr:colOff>
      <xdr:row>0</xdr:row>
      <xdr:rowOff>342900</xdr:rowOff>
    </xdr:to>
    <xdr:sp macro="" textlink="">
      <xdr:nvSpPr>
        <xdr:cNvPr id="8" name="Надпись 2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/>
        </xdr:cNvSpPr>
      </xdr:nvSpPr>
      <xdr:spPr>
        <a:xfrm>
          <a:off x="4905375" y="38100"/>
          <a:ext cx="1343025" cy="304800"/>
        </a:xfrm>
        <a:prstGeom prst="rect">
          <a:avLst/>
        </a:prstGeom>
        <a:noFill/>
        <a:ln w="6350">
          <a:noFill/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r">
            <a:spcAft>
              <a:spcPts val="0"/>
            </a:spcAft>
          </a:pPr>
          <a:r>
            <a:rPr lang="ru-RU" sz="1000">
              <a:effectLst/>
              <a:latin typeface="Times New Roman" panose="02020603050405020304" pitchFamily="18" charset="0"/>
              <a:ea typeface="Times New Roman" panose="02020603050405020304" pitchFamily="18" charset="0"/>
            </a:rPr>
            <a:t>Лицевая сторона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.peop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писок"/>
      <sheetName val="Параметры"/>
    </sheetNames>
    <sheetDataSet>
      <sheetData sheetId="0">
        <row r="2">
          <cell r="B2" t="str">
            <v>Начальник СКС</v>
          </cell>
          <cell r="C2" t="str">
            <v>Филиал ПАО «Россети Волга» - «УРС» - «ЦПО»</v>
          </cell>
          <cell r="D2" t="str">
            <v>Захаренко Сергей Александрович</v>
          </cell>
        </row>
        <row r="3">
          <cell r="B3" t="str">
            <v>директор</v>
          </cell>
          <cell r="D3" t="str">
            <v>Красильников Денис Николаевич</v>
          </cell>
        </row>
        <row r="5">
          <cell r="B5" t="str">
            <v>Представитель собственника</v>
          </cell>
          <cell r="C5" t="str">
            <v>АО "УльГЭС"</v>
          </cell>
          <cell r="D5" t="str">
            <v>Красильников Денис Николаевич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69"/>
  <sheetViews>
    <sheetView tabSelected="1" view="pageBreakPreview" topLeftCell="A10" zoomScaleNormal="100" zoomScaleSheetLayoutView="100" workbookViewId="0">
      <selection activeCell="D16" sqref="D16:I16"/>
    </sheetView>
  </sheetViews>
  <sheetFormatPr defaultRowHeight="15" x14ac:dyDescent="0.25"/>
  <cols>
    <col min="3" max="3" width="23.7109375" customWidth="1"/>
    <col min="4" max="4" width="10.28515625" customWidth="1"/>
    <col min="5" max="5" width="7.85546875" customWidth="1"/>
    <col min="6" max="6" width="7" customWidth="1"/>
    <col min="7" max="7" width="5.5703125" customWidth="1"/>
    <col min="8" max="8" width="7.28515625" customWidth="1"/>
    <col min="9" max="9" width="25.85546875" customWidth="1"/>
    <col min="13" max="13" width="15" customWidth="1"/>
    <col min="14" max="14" width="14" customWidth="1"/>
  </cols>
  <sheetData>
    <row r="1" spans="2:9" ht="32.25" customHeight="1" x14ac:dyDescent="0.25">
      <c r="B1" s="120" t="s">
        <v>73</v>
      </c>
      <c r="C1" s="120"/>
      <c r="D1" s="14"/>
      <c r="E1" s="14"/>
      <c r="I1" s="31" t="s">
        <v>62</v>
      </c>
    </row>
    <row r="2" spans="2:9" ht="30.75" customHeight="1" x14ac:dyDescent="0.25">
      <c r="B2" s="79" t="s">
        <v>25</v>
      </c>
      <c r="C2" s="79"/>
      <c r="D2" s="79"/>
      <c r="E2" s="79"/>
      <c r="F2" s="79"/>
      <c r="G2" s="79"/>
      <c r="H2" s="79"/>
      <c r="I2" s="79"/>
    </row>
    <row r="3" spans="2:9" ht="15.75" x14ac:dyDescent="0.25">
      <c r="D3" s="29" t="s">
        <v>60</v>
      </c>
      <c r="E3" s="39"/>
      <c r="F3" s="26" t="s">
        <v>70</v>
      </c>
      <c r="G3" s="89"/>
      <c r="H3" s="89"/>
      <c r="I3" s="89"/>
    </row>
    <row r="4" spans="2:9" ht="18.75" x14ac:dyDescent="0.25">
      <c r="C4" s="82" t="s">
        <v>63</v>
      </c>
      <c r="D4" s="82"/>
      <c r="E4" s="82"/>
      <c r="F4" s="82"/>
      <c r="G4" s="82"/>
      <c r="H4" s="82"/>
      <c r="I4" s="82"/>
    </row>
    <row r="5" spans="2:9" ht="64.5" customHeight="1" x14ac:dyDescent="0.25">
      <c r="B5" s="78" t="s">
        <v>26</v>
      </c>
      <c r="C5" s="78"/>
      <c r="D5" s="78"/>
      <c r="E5" s="78"/>
      <c r="F5" s="78"/>
      <c r="G5" s="78"/>
      <c r="H5" s="78"/>
      <c r="I5" s="78"/>
    </row>
    <row r="6" spans="2:9" x14ac:dyDescent="0.25">
      <c r="C6" s="15"/>
      <c r="D6" s="15"/>
      <c r="E6" s="15"/>
    </row>
    <row r="7" spans="2:9" ht="26.25" customHeight="1" x14ac:dyDescent="0.25">
      <c r="B7" s="80" t="s">
        <v>27</v>
      </c>
      <c r="C7" s="80"/>
      <c r="D7" s="83"/>
      <c r="E7" s="84"/>
      <c r="F7" s="84"/>
      <c r="G7" s="84"/>
      <c r="H7" s="84"/>
      <c r="I7" s="85"/>
    </row>
    <row r="8" spans="2:9" ht="23.25" customHeight="1" x14ac:dyDescent="0.25">
      <c r="B8" s="81" t="s">
        <v>28</v>
      </c>
      <c r="C8" s="81"/>
      <c r="D8" s="86" t="s">
        <v>29</v>
      </c>
      <c r="E8" s="87"/>
      <c r="F8" s="87"/>
      <c r="G8" s="87"/>
      <c r="H8" s="87"/>
      <c r="I8" s="88"/>
    </row>
    <row r="9" spans="2:9" ht="15" customHeight="1" x14ac:dyDescent="0.25">
      <c r="B9" s="66" t="s">
        <v>30</v>
      </c>
      <c r="C9" s="67"/>
      <c r="D9" s="43"/>
      <c r="E9" s="44"/>
      <c r="F9" s="44"/>
      <c r="G9" s="44"/>
      <c r="H9" s="44"/>
      <c r="I9" s="45"/>
    </row>
    <row r="10" spans="2:9" ht="15.75" customHeight="1" x14ac:dyDescent="0.25">
      <c r="B10" s="56" t="s">
        <v>31</v>
      </c>
      <c r="C10" s="57"/>
      <c r="D10" s="46"/>
      <c r="E10" s="47"/>
      <c r="F10" s="121">
        <f>G3</f>
        <v>0</v>
      </c>
      <c r="G10" s="121"/>
      <c r="H10" s="121"/>
      <c r="I10" s="122"/>
    </row>
    <row r="11" spans="2:9" ht="34.5" customHeight="1" x14ac:dyDescent="0.25">
      <c r="B11" s="58" t="s">
        <v>32</v>
      </c>
      <c r="C11" s="59"/>
      <c r="D11" s="72"/>
      <c r="E11" s="73"/>
      <c r="F11" s="73"/>
      <c r="G11" s="73"/>
      <c r="H11" s="73"/>
      <c r="I11" s="74"/>
    </row>
    <row r="12" spans="2:9" ht="28.5" customHeight="1" x14ac:dyDescent="0.25">
      <c r="B12" s="58" t="s">
        <v>33</v>
      </c>
      <c r="C12" s="59"/>
      <c r="D12" s="75" t="s">
        <v>34</v>
      </c>
      <c r="E12" s="76"/>
      <c r="F12" s="76"/>
      <c r="G12" s="76"/>
      <c r="H12" s="76"/>
      <c r="I12" s="77"/>
    </row>
    <row r="13" spans="2:9" ht="30" customHeight="1" x14ac:dyDescent="0.25">
      <c r="B13" s="58" t="s">
        <v>35</v>
      </c>
      <c r="C13" s="90"/>
      <c r="D13" s="94" t="s">
        <v>65</v>
      </c>
      <c r="E13" s="95"/>
      <c r="F13" s="50">
        <v>0.4</v>
      </c>
      <c r="G13" s="27" t="s">
        <v>61</v>
      </c>
      <c r="H13" s="27"/>
      <c r="I13" s="28"/>
    </row>
    <row r="14" spans="2:9" ht="23.25" customHeight="1" x14ac:dyDescent="0.25">
      <c r="B14" s="58" t="s">
        <v>36</v>
      </c>
      <c r="C14" s="59"/>
      <c r="D14" s="99" t="s">
        <v>37</v>
      </c>
      <c r="E14" s="100"/>
      <c r="F14" s="100"/>
      <c r="G14" s="100"/>
      <c r="H14" s="100"/>
      <c r="I14" s="101"/>
    </row>
    <row r="15" spans="2:9" ht="15.75" customHeight="1" x14ac:dyDescent="0.25">
      <c r="B15" s="66" t="s">
        <v>38</v>
      </c>
      <c r="C15" s="67"/>
      <c r="D15" s="102" t="s">
        <v>71</v>
      </c>
      <c r="E15" s="103"/>
      <c r="F15" s="103"/>
      <c r="G15" s="76"/>
      <c r="H15" s="76"/>
      <c r="I15" s="77"/>
    </row>
    <row r="16" spans="2:9" ht="15.75" x14ac:dyDescent="0.25">
      <c r="B16" s="68"/>
      <c r="C16" s="69"/>
      <c r="D16" s="96"/>
      <c r="E16" s="97"/>
      <c r="F16" s="97"/>
      <c r="G16" s="97"/>
      <c r="H16" s="97"/>
      <c r="I16" s="98"/>
    </row>
    <row r="17" spans="2:9" ht="15.75" x14ac:dyDescent="0.25">
      <c r="B17" s="56"/>
      <c r="C17" s="57"/>
      <c r="D17" s="91"/>
      <c r="E17" s="92"/>
      <c r="F17" s="92"/>
      <c r="G17" s="92"/>
      <c r="H17" s="92"/>
      <c r="I17" s="93"/>
    </row>
    <row r="18" spans="2:9" x14ac:dyDescent="0.25">
      <c r="C18" s="15"/>
      <c r="D18" s="15"/>
      <c r="E18" s="15"/>
    </row>
    <row r="19" spans="2:9" x14ac:dyDescent="0.25">
      <c r="B19" s="104" t="s">
        <v>39</v>
      </c>
      <c r="C19" s="104"/>
      <c r="D19" s="16"/>
      <c r="E19" s="16"/>
    </row>
    <row r="20" spans="2:9" ht="31.5" customHeight="1" x14ac:dyDescent="0.25">
      <c r="B20" s="70" t="str">
        <f>IFERROR(IF([1]Список!$B$2=0,"",[1]Список!$B$2),"")</f>
        <v>Начальник СКС</v>
      </c>
      <c r="C20" s="70"/>
      <c r="D20" s="62" t="str">
        <f>IFERROR(IF([1]Список!$C$2=0,"",[1]Список!$C$2),"")</f>
        <v>Филиал ПАО «Россети Волга» - «УРС» - «ЦПО»</v>
      </c>
      <c r="E20" s="118"/>
      <c r="F20" s="118"/>
      <c r="G20" s="63"/>
      <c r="H20" s="62" t="str">
        <f>IFERROR(IF([1]Список!$D$2=0,"",[1]Список!$D$2),"")</f>
        <v>Захаренко Сергей Александрович</v>
      </c>
      <c r="I20" s="63"/>
    </row>
    <row r="21" spans="2:9" s="53" customFormat="1" ht="12.75" customHeight="1" x14ac:dyDescent="0.25">
      <c r="B21" s="71" t="s">
        <v>40</v>
      </c>
      <c r="C21" s="71"/>
      <c r="D21" s="64" t="s">
        <v>41</v>
      </c>
      <c r="E21" s="119"/>
      <c r="F21" s="119"/>
      <c r="G21" s="65"/>
      <c r="H21" s="64" t="s">
        <v>42</v>
      </c>
      <c r="I21" s="65"/>
    </row>
    <row r="22" spans="2:9" ht="27" customHeight="1" x14ac:dyDescent="0.25">
      <c r="B22" s="70" t="str">
        <f>IFERROR(IF([1]Список!$B$5=0,"",[1]Список!$B$5),"")</f>
        <v>Представитель собственника</v>
      </c>
      <c r="C22" s="70"/>
      <c r="D22" s="62" t="str">
        <f>IFERROR(IF([1]Список!$C$5=0,"",[1]Список!$C$5),"")</f>
        <v>АО "УльГЭС"</v>
      </c>
      <c r="E22" s="118"/>
      <c r="F22" s="118"/>
      <c r="G22" s="63"/>
      <c r="H22" s="62" t="str">
        <f>IFERROR(IF([1]Список!$D$5=0,"",[1]Список!$D$5),"")</f>
        <v>Красильников Денис Николаевич</v>
      </c>
      <c r="I22" s="63"/>
    </row>
    <row r="23" spans="2:9" s="53" customFormat="1" ht="12.75" customHeight="1" x14ac:dyDescent="0.25">
      <c r="B23" s="106" t="s">
        <v>40</v>
      </c>
      <c r="C23" s="106"/>
      <c r="D23" s="64" t="s">
        <v>41</v>
      </c>
      <c r="E23" s="119"/>
      <c r="F23" s="119"/>
      <c r="G23" s="65"/>
      <c r="H23" s="60" t="s">
        <v>42</v>
      </c>
      <c r="I23" s="61"/>
    </row>
    <row r="24" spans="2:9" ht="27" customHeight="1" x14ac:dyDescent="0.25">
      <c r="B24" s="70" t="str">
        <f>IFERROR(IF([1]Список!$B$6=0,"",[1]Список!$B$6),"")</f>
        <v/>
      </c>
      <c r="C24" s="70"/>
      <c r="D24" s="62" t="str">
        <f>IFERROR(IF([1]Список!$C$6=0,"",[1]Список!$C$6),"")</f>
        <v/>
      </c>
      <c r="E24" s="118"/>
      <c r="F24" s="118"/>
      <c r="G24" s="63"/>
      <c r="H24" s="62" t="str">
        <f>IFERROR(IF([1]Список!$D$6=0,"",[1]Список!$D$6),"")</f>
        <v/>
      </c>
      <c r="I24" s="63"/>
    </row>
    <row r="25" spans="2:9" s="53" customFormat="1" ht="12.75" customHeight="1" x14ac:dyDescent="0.25">
      <c r="B25" s="106" t="s">
        <v>40</v>
      </c>
      <c r="C25" s="106"/>
      <c r="D25" s="64" t="s">
        <v>41</v>
      </c>
      <c r="E25" s="119"/>
      <c r="F25" s="119"/>
      <c r="G25" s="65"/>
      <c r="H25" s="60" t="s">
        <v>42</v>
      </c>
      <c r="I25" s="61"/>
    </row>
    <row r="26" spans="2:9" ht="27" customHeight="1" x14ac:dyDescent="0.25">
      <c r="B26" s="70" t="str">
        <f>IFERROR(IF([1]Список!$B$7=0,"",[1]Список!$B$7),"")</f>
        <v/>
      </c>
      <c r="C26" s="70"/>
      <c r="D26" s="62" t="str">
        <f>IFERROR(IF([1]Список!$C$7=0,"",[1]Список!$C$7),"")</f>
        <v/>
      </c>
      <c r="E26" s="118"/>
      <c r="F26" s="118"/>
      <c r="G26" s="63"/>
      <c r="H26" s="62" t="str">
        <f>IFERROR(IF([1]Список!$D$7=0,"",[1]Список!$D$7),"")</f>
        <v/>
      </c>
      <c r="I26" s="63"/>
    </row>
    <row r="27" spans="2:9" s="53" customFormat="1" ht="12.75" customHeight="1" x14ac:dyDescent="0.25">
      <c r="B27" s="106" t="s">
        <v>40</v>
      </c>
      <c r="C27" s="106"/>
      <c r="D27" s="64" t="s">
        <v>41</v>
      </c>
      <c r="E27" s="119"/>
      <c r="F27" s="119"/>
      <c r="G27" s="65"/>
      <c r="H27" s="60" t="s">
        <v>42</v>
      </c>
      <c r="I27" s="61"/>
    </row>
    <row r="28" spans="2:9" ht="27" customHeight="1" x14ac:dyDescent="0.25">
      <c r="B28" s="70" t="str">
        <f>IFERROR(IF([1]Список!$B$8=0,"",[1]Список!$B$8),"")</f>
        <v/>
      </c>
      <c r="C28" s="70"/>
      <c r="D28" s="62" t="str">
        <f>IFERROR(IF([1]Список!$C$8=0,"",[1]Список!$C$8),"")</f>
        <v/>
      </c>
      <c r="E28" s="118"/>
      <c r="F28" s="118"/>
      <c r="G28" s="63"/>
      <c r="H28" s="62" t="str">
        <f>IFERROR(IF([1]Список!$D$8=0,"",[1]Список!$D$8),"")</f>
        <v/>
      </c>
      <c r="I28" s="63"/>
    </row>
    <row r="29" spans="2:9" s="53" customFormat="1" ht="12.75" customHeight="1" x14ac:dyDescent="0.25">
      <c r="B29" s="106" t="s">
        <v>40</v>
      </c>
      <c r="C29" s="106"/>
      <c r="D29" s="64" t="s">
        <v>41</v>
      </c>
      <c r="E29" s="119"/>
      <c r="F29" s="119"/>
      <c r="G29" s="65"/>
      <c r="H29" s="60" t="s">
        <v>42</v>
      </c>
      <c r="I29" s="61"/>
    </row>
    <row r="30" spans="2:9" x14ac:dyDescent="0.25">
      <c r="B30" s="123" t="s">
        <v>43</v>
      </c>
      <c r="C30" s="123"/>
      <c r="D30" s="123"/>
      <c r="E30" s="123"/>
      <c r="F30" s="123"/>
      <c r="G30" s="123"/>
      <c r="H30" s="123"/>
      <c r="I30" s="123"/>
    </row>
    <row r="31" spans="2:9" x14ac:dyDescent="0.25">
      <c r="B31" s="54"/>
      <c r="C31" s="54"/>
      <c r="D31" s="54"/>
      <c r="E31" s="54"/>
      <c r="F31" s="54"/>
      <c r="G31" s="54"/>
      <c r="H31" s="54"/>
      <c r="I31" s="54"/>
    </row>
    <row r="32" spans="2:9" x14ac:dyDescent="0.25">
      <c r="B32" s="54"/>
      <c r="C32" s="54"/>
      <c r="D32" s="54"/>
      <c r="E32" s="54"/>
      <c r="F32" s="54"/>
      <c r="G32" s="54"/>
      <c r="H32" s="54"/>
      <c r="I32" s="54"/>
    </row>
    <row r="33" spans="2:9" x14ac:dyDescent="0.25">
      <c r="B33" s="54"/>
      <c r="C33" s="54"/>
      <c r="D33" s="54"/>
      <c r="E33" s="54"/>
      <c r="F33" s="54"/>
      <c r="G33" s="54"/>
      <c r="H33" s="54"/>
      <c r="I33" s="54"/>
    </row>
    <row r="34" spans="2:9" x14ac:dyDescent="0.25">
      <c r="B34" s="54"/>
      <c r="C34" s="54"/>
      <c r="D34" s="54"/>
      <c r="E34" s="54"/>
      <c r="F34" s="54"/>
      <c r="G34" s="54"/>
      <c r="H34" s="54"/>
      <c r="I34" s="54"/>
    </row>
    <row r="35" spans="2:9" x14ac:dyDescent="0.25">
      <c r="B35" s="54"/>
      <c r="C35" s="54"/>
      <c r="D35" s="54"/>
      <c r="E35" s="54"/>
      <c r="F35" s="54"/>
      <c r="G35" s="54"/>
      <c r="H35" s="54"/>
      <c r="I35" s="54"/>
    </row>
    <row r="36" spans="2:9" x14ac:dyDescent="0.25">
      <c r="B36" s="54"/>
      <c r="C36" s="54"/>
      <c r="D36" s="54"/>
      <c r="E36" s="54"/>
      <c r="F36" s="54"/>
      <c r="G36" s="54"/>
      <c r="H36" s="54"/>
      <c r="I36" s="54"/>
    </row>
    <row r="37" spans="2:9" x14ac:dyDescent="0.25">
      <c r="C37" s="17"/>
      <c r="D37" s="17"/>
      <c r="E37" s="17"/>
    </row>
    <row r="38" spans="2:9" x14ac:dyDescent="0.25">
      <c r="C38" s="17"/>
      <c r="D38" s="17"/>
      <c r="E38" s="17"/>
      <c r="I38" s="31" t="s">
        <v>64</v>
      </c>
    </row>
    <row r="39" spans="2:9" x14ac:dyDescent="0.25">
      <c r="C39" s="17"/>
      <c r="D39" s="17"/>
      <c r="E39" s="17"/>
    </row>
    <row r="40" spans="2:9" x14ac:dyDescent="0.25">
      <c r="C40" s="18"/>
      <c r="D40" s="18"/>
      <c r="E40" s="18"/>
    </row>
    <row r="41" spans="2:9" x14ac:dyDescent="0.25">
      <c r="C41" s="108" t="s">
        <v>44</v>
      </c>
      <c r="D41" s="108"/>
      <c r="E41" s="108"/>
      <c r="F41" s="108"/>
      <c r="G41" s="108"/>
      <c r="H41" s="108"/>
      <c r="I41" s="108"/>
    </row>
    <row r="42" spans="2:9" ht="15" customHeight="1" x14ac:dyDescent="0.25">
      <c r="B42" s="105" t="s">
        <v>45</v>
      </c>
      <c r="C42" s="105" t="s">
        <v>46</v>
      </c>
      <c r="D42" s="110" t="s">
        <v>47</v>
      </c>
      <c r="E42" s="111"/>
      <c r="F42" s="112"/>
      <c r="G42" s="105" t="s">
        <v>49</v>
      </c>
      <c r="H42" s="105" t="s">
        <v>50</v>
      </c>
      <c r="I42" s="105" t="s">
        <v>51</v>
      </c>
    </row>
    <row r="43" spans="2:9" ht="30.75" customHeight="1" x14ac:dyDescent="0.25">
      <c r="B43" s="105"/>
      <c r="C43" s="105"/>
      <c r="D43" s="113" t="s">
        <v>48</v>
      </c>
      <c r="E43" s="114"/>
      <c r="F43" s="115"/>
      <c r="G43" s="105"/>
      <c r="H43" s="105"/>
      <c r="I43" s="105"/>
    </row>
    <row r="44" spans="2:9" ht="33" customHeight="1" x14ac:dyDescent="0.25">
      <c r="B44" s="19">
        <v>1</v>
      </c>
      <c r="C44" s="22" t="s">
        <v>52</v>
      </c>
      <c r="D44" s="40"/>
      <c r="E44" s="116"/>
      <c r="F44" s="117"/>
      <c r="G44" s="23" t="s">
        <v>53</v>
      </c>
      <c r="H44" s="41"/>
      <c r="I44" s="52"/>
    </row>
    <row r="45" spans="2:9" ht="24.75" customHeight="1" x14ac:dyDescent="0.25">
      <c r="B45" s="19"/>
      <c r="C45" s="22"/>
      <c r="D45" s="30"/>
      <c r="E45" s="24"/>
      <c r="F45" s="25"/>
      <c r="G45" s="23"/>
      <c r="H45" s="20"/>
      <c r="I45" s="21"/>
    </row>
    <row r="46" spans="2:9" ht="24.75" customHeight="1" x14ac:dyDescent="0.25">
      <c r="B46" s="19"/>
      <c r="C46" s="22"/>
      <c r="D46" s="30"/>
      <c r="E46" s="24"/>
      <c r="F46" s="25"/>
      <c r="G46" s="23"/>
      <c r="H46" s="20"/>
      <c r="I46" s="21"/>
    </row>
    <row r="47" spans="2:9" ht="24.75" customHeight="1" x14ac:dyDescent="0.25">
      <c r="B47" s="19"/>
      <c r="C47" s="22"/>
      <c r="D47" s="30"/>
      <c r="E47" s="24"/>
      <c r="F47" s="25"/>
      <c r="G47" s="23"/>
      <c r="H47" s="20"/>
      <c r="I47" s="21"/>
    </row>
    <row r="48" spans="2:9" ht="24.75" customHeight="1" x14ac:dyDescent="0.25">
      <c r="B48" s="19"/>
      <c r="C48" s="22"/>
      <c r="D48" s="30"/>
      <c r="E48" s="24"/>
      <c r="F48" s="25"/>
      <c r="G48" s="23"/>
      <c r="H48" s="20"/>
      <c r="I48" s="21"/>
    </row>
    <row r="49" spans="2:9" ht="24.75" customHeight="1" x14ac:dyDescent="0.25">
      <c r="B49" s="19"/>
      <c r="C49" s="22"/>
      <c r="D49" s="30"/>
      <c r="E49" s="24"/>
      <c r="F49" s="25"/>
      <c r="G49" s="23"/>
      <c r="H49" s="20"/>
      <c r="I49" s="21"/>
    </row>
    <row r="50" spans="2:9" ht="24.75" customHeight="1" x14ac:dyDescent="0.25">
      <c r="B50" s="19"/>
      <c r="C50" s="22"/>
      <c r="D50" s="30"/>
      <c r="E50" s="24"/>
      <c r="F50" s="25"/>
      <c r="G50" s="23"/>
      <c r="H50" s="20"/>
      <c r="I50" s="21"/>
    </row>
    <row r="51" spans="2:9" ht="24.75" customHeight="1" x14ac:dyDescent="0.25">
      <c r="B51" s="19"/>
      <c r="C51" s="22"/>
      <c r="D51" s="30"/>
      <c r="E51" s="24"/>
      <c r="F51" s="25"/>
      <c r="G51" s="23"/>
      <c r="H51" s="20"/>
      <c r="I51" s="21"/>
    </row>
    <row r="52" spans="2:9" ht="24.75" customHeight="1" x14ac:dyDescent="0.25">
      <c r="B52" s="19"/>
      <c r="C52" s="22"/>
      <c r="D52" s="30"/>
      <c r="E52" s="24"/>
      <c r="F52" s="25"/>
      <c r="G52" s="23"/>
      <c r="H52" s="20"/>
      <c r="I52" s="21"/>
    </row>
    <row r="53" spans="2:9" ht="24.75" customHeight="1" x14ac:dyDescent="0.25">
      <c r="B53" s="19"/>
      <c r="C53" s="22"/>
      <c r="D53" s="30"/>
      <c r="E53" s="24"/>
      <c r="F53" s="25"/>
      <c r="G53" s="23"/>
      <c r="H53" s="20"/>
      <c r="I53" s="21"/>
    </row>
    <row r="54" spans="2:9" ht="37.5" customHeight="1" x14ac:dyDescent="0.25">
      <c r="B54" s="124" t="s">
        <v>54</v>
      </c>
      <c r="C54" s="124"/>
      <c r="D54" s="124"/>
      <c r="E54" s="124"/>
      <c r="F54" s="124"/>
      <c r="G54" s="124"/>
      <c r="H54" s="124"/>
      <c r="I54" s="124"/>
    </row>
    <row r="55" spans="2:9" x14ac:dyDescent="0.25">
      <c r="C55" s="17"/>
      <c r="D55" s="17"/>
      <c r="E55" s="17"/>
    </row>
    <row r="56" spans="2:9" x14ac:dyDescent="0.25">
      <c r="B56" s="108" t="s">
        <v>55</v>
      </c>
      <c r="C56" s="108"/>
      <c r="D56" s="108"/>
      <c r="E56" s="108"/>
      <c r="F56" s="108"/>
      <c r="G56" s="108"/>
      <c r="H56" s="108"/>
      <c r="I56" s="108"/>
    </row>
    <row r="57" spans="2:9" x14ac:dyDescent="0.25">
      <c r="B57" s="109"/>
      <c r="C57" s="109"/>
      <c r="D57" s="109"/>
      <c r="E57" s="109"/>
      <c r="F57" s="109"/>
      <c r="G57" s="109"/>
      <c r="H57" s="109"/>
      <c r="I57" s="109"/>
    </row>
    <row r="58" spans="2:9" x14ac:dyDescent="0.25">
      <c r="B58" s="109"/>
      <c r="C58" s="109"/>
      <c r="D58" s="109"/>
      <c r="E58" s="109"/>
      <c r="F58" s="109"/>
      <c r="G58" s="109"/>
      <c r="H58" s="109"/>
      <c r="I58" s="109"/>
    </row>
    <row r="59" spans="2:9" x14ac:dyDescent="0.25">
      <c r="B59" s="109"/>
      <c r="C59" s="109"/>
      <c r="D59" s="109"/>
      <c r="E59" s="109"/>
      <c r="F59" s="109"/>
      <c r="G59" s="109"/>
      <c r="H59" s="109"/>
      <c r="I59" s="109"/>
    </row>
    <row r="60" spans="2:9" x14ac:dyDescent="0.25">
      <c r="B60" s="109"/>
      <c r="C60" s="109"/>
      <c r="D60" s="109"/>
      <c r="E60" s="109"/>
      <c r="F60" s="109"/>
      <c r="G60" s="109"/>
      <c r="H60" s="109"/>
      <c r="I60" s="109"/>
    </row>
    <row r="61" spans="2:9" x14ac:dyDescent="0.25">
      <c r="C61" s="17"/>
      <c r="D61" s="17"/>
      <c r="E61" s="17"/>
    </row>
    <row r="62" spans="2:9" x14ac:dyDescent="0.25">
      <c r="B62" s="108" t="s">
        <v>56</v>
      </c>
      <c r="C62" s="108"/>
      <c r="D62" s="108"/>
      <c r="E62" s="108"/>
      <c r="F62" s="108"/>
      <c r="G62" s="108"/>
      <c r="H62" s="108"/>
      <c r="I62" s="108"/>
    </row>
    <row r="63" spans="2:9" ht="29.25" customHeight="1" x14ac:dyDescent="0.25">
      <c r="B63" s="105" t="s">
        <v>57</v>
      </c>
      <c r="C63" s="105"/>
      <c r="D63" s="105"/>
      <c r="E63" s="105" t="s">
        <v>58</v>
      </c>
      <c r="F63" s="105"/>
      <c r="G63" s="105"/>
      <c r="H63" s="105" t="s">
        <v>59</v>
      </c>
      <c r="I63" s="105"/>
    </row>
    <row r="64" spans="2:9" ht="33" customHeight="1" x14ac:dyDescent="0.25">
      <c r="B64" s="107" t="str">
        <f>IFERROR(LEFT(H20,FIND(" ",H20)-1),H20)&amp;IFERROR(" "&amp;MID(H20,FIND(" ",H20)+1,1)&amp;".","" )&amp;IFERROR(" "&amp;MID(H20,FIND(" ",H20,FIND(" ",H20)+1)+1,1)&amp;".","")</f>
        <v>Захаренко С. А.</v>
      </c>
      <c r="C64" s="107"/>
      <c r="D64" s="107"/>
      <c r="E64" s="105"/>
      <c r="F64" s="105"/>
      <c r="G64" s="105"/>
      <c r="H64" s="105"/>
      <c r="I64" s="105"/>
    </row>
    <row r="65" spans="2:9" ht="33" customHeight="1" x14ac:dyDescent="0.25">
      <c r="B65" s="107" t="str">
        <f>IFERROR(LEFT(H22,FIND(" ",H22)-1),H22)&amp;IFERROR(" "&amp;MID(H22,FIND(" ",H22)+1,1)&amp;".","" )&amp;IFERROR(" "&amp;MID(H22,FIND(" ",H22,FIND(" ",H22)+1)+1,1)&amp;".","")</f>
        <v>Красильников Д. Н.</v>
      </c>
      <c r="C65" s="107"/>
      <c r="D65" s="107"/>
      <c r="E65" s="105"/>
      <c r="F65" s="105"/>
      <c r="G65" s="105"/>
      <c r="H65" s="105"/>
      <c r="I65" s="105"/>
    </row>
    <row r="66" spans="2:9" ht="33" customHeight="1" x14ac:dyDescent="0.25">
      <c r="B66" s="107" t="str">
        <f>IFERROR(LEFT(H24,FIND(" ",H24)-1),H24)&amp;IFERROR(" "&amp;MID(H24,FIND(" ",H24)+1,1)&amp;".","" )&amp;IFERROR(" "&amp;MID(H24,FIND(" ",H24,FIND(" ",H24)+1)+1,1)&amp;".","")</f>
        <v/>
      </c>
      <c r="C66" s="107"/>
      <c r="D66" s="107"/>
      <c r="E66" s="105"/>
      <c r="F66" s="105"/>
      <c r="G66" s="105"/>
      <c r="H66" s="105"/>
      <c r="I66" s="105"/>
    </row>
    <row r="67" spans="2:9" ht="33" customHeight="1" x14ac:dyDescent="0.25">
      <c r="B67" s="107" t="str">
        <f>IFERROR(LEFT(H26,FIND(" ",H26)-1),H26)&amp;IFERROR(" "&amp;MID(H26,FIND(" ",H26)+1,1)&amp;".","" )&amp;IFERROR(" "&amp;MID(H26,FIND(" ",H26,FIND(" ",H26)+1)+1,1)&amp;".","")</f>
        <v/>
      </c>
      <c r="C67" s="107"/>
      <c r="D67" s="107"/>
      <c r="E67" s="105"/>
      <c r="F67" s="105"/>
      <c r="G67" s="105"/>
      <c r="H67" s="105"/>
      <c r="I67" s="105"/>
    </row>
    <row r="68" spans="2:9" ht="33" customHeight="1" x14ac:dyDescent="0.25">
      <c r="B68" s="107" t="str">
        <f>IFERROR(LEFT(H28,FIND(" ",H28)-1),H28)&amp;IFERROR(" "&amp;MID(H28,FIND(" ",H28)+1,1)&amp;".","" )&amp;IFERROR(" "&amp;MID(H28,FIND(" ",H28,FIND(" ",H28)+1)+1,1)&amp;".","")</f>
        <v/>
      </c>
      <c r="C68" s="107"/>
      <c r="D68" s="107"/>
      <c r="E68" s="105"/>
      <c r="F68" s="105"/>
      <c r="G68" s="105"/>
      <c r="H68" s="105"/>
      <c r="I68" s="105"/>
    </row>
    <row r="69" spans="2:9" x14ac:dyDescent="0.25">
      <c r="C69" s="17"/>
      <c r="D69" s="17"/>
      <c r="E69" s="17"/>
    </row>
  </sheetData>
  <mergeCells count="90">
    <mergeCell ref="B1:C1"/>
    <mergeCell ref="F10:I10"/>
    <mergeCell ref="H65:I65"/>
    <mergeCell ref="H66:I66"/>
    <mergeCell ref="H29:I29"/>
    <mergeCell ref="B30:I30"/>
    <mergeCell ref="B54:I54"/>
    <mergeCell ref="B56:I56"/>
    <mergeCell ref="B57:I57"/>
    <mergeCell ref="B58:I58"/>
    <mergeCell ref="D24:G24"/>
    <mergeCell ref="D25:G25"/>
    <mergeCell ref="D26:G26"/>
    <mergeCell ref="H64:I64"/>
    <mergeCell ref="D28:G28"/>
    <mergeCell ref="D29:G29"/>
    <mergeCell ref="D20:G20"/>
    <mergeCell ref="D21:G21"/>
    <mergeCell ref="D22:G22"/>
    <mergeCell ref="D23:G23"/>
    <mergeCell ref="C41:I41"/>
    <mergeCell ref="D27:G27"/>
    <mergeCell ref="H27:I27"/>
    <mergeCell ref="B62:I62"/>
    <mergeCell ref="B63:D63"/>
    <mergeCell ref="B64:D64"/>
    <mergeCell ref="B65:D65"/>
    <mergeCell ref="B28:C28"/>
    <mergeCell ref="B29:C29"/>
    <mergeCell ref="B59:I60"/>
    <mergeCell ref="H28:I28"/>
    <mergeCell ref="D42:F42"/>
    <mergeCell ref="G42:G43"/>
    <mergeCell ref="H42:H43"/>
    <mergeCell ref="I42:I43"/>
    <mergeCell ref="D43:F43"/>
    <mergeCell ref="E44:F44"/>
    <mergeCell ref="B66:D66"/>
    <mergeCell ref="H63:I63"/>
    <mergeCell ref="B68:D68"/>
    <mergeCell ref="E63:G63"/>
    <mergeCell ref="E64:G64"/>
    <mergeCell ref="E65:G65"/>
    <mergeCell ref="E66:G66"/>
    <mergeCell ref="E67:G67"/>
    <mergeCell ref="E68:G68"/>
    <mergeCell ref="B67:D67"/>
    <mergeCell ref="H67:I67"/>
    <mergeCell ref="H68:I68"/>
    <mergeCell ref="B19:C19"/>
    <mergeCell ref="B42:B43"/>
    <mergeCell ref="B23:C23"/>
    <mergeCell ref="B24:C24"/>
    <mergeCell ref="B25:C25"/>
    <mergeCell ref="B26:C26"/>
    <mergeCell ref="B27:C27"/>
    <mergeCell ref="C42:C43"/>
    <mergeCell ref="B12:C12"/>
    <mergeCell ref="B13:C13"/>
    <mergeCell ref="D17:I17"/>
    <mergeCell ref="D13:E13"/>
    <mergeCell ref="D16:I16"/>
    <mergeCell ref="D14:I14"/>
    <mergeCell ref="D15:F15"/>
    <mergeCell ref="G15:I15"/>
    <mergeCell ref="B5:I5"/>
    <mergeCell ref="B2:I2"/>
    <mergeCell ref="B7:C7"/>
    <mergeCell ref="B8:C8"/>
    <mergeCell ref="B9:C9"/>
    <mergeCell ref="C4:I4"/>
    <mergeCell ref="D7:I7"/>
    <mergeCell ref="D8:I8"/>
    <mergeCell ref="G3:I3"/>
    <mergeCell ref="B10:C10"/>
    <mergeCell ref="B11:C11"/>
    <mergeCell ref="H25:I25"/>
    <mergeCell ref="H26:I26"/>
    <mergeCell ref="H20:I20"/>
    <mergeCell ref="H21:I21"/>
    <mergeCell ref="H22:I22"/>
    <mergeCell ref="H23:I23"/>
    <mergeCell ref="H24:I24"/>
    <mergeCell ref="B14:C14"/>
    <mergeCell ref="B15:C17"/>
    <mergeCell ref="B20:C20"/>
    <mergeCell ref="B21:C21"/>
    <mergeCell ref="D11:I11"/>
    <mergeCell ref="D12:I12"/>
    <mergeCell ref="B22:C22"/>
  </mergeCells>
  <pageMargins left="0.25" right="0.25" top="0.75" bottom="0.75" header="0.3" footer="0.3"/>
  <pageSetup paperSize="9" scale="93" orientation="portrait" r:id="rId1"/>
  <rowBreaks count="1" manualBreakCount="1">
    <brk id="37" max="8" man="1"/>
  </rowBreaks>
  <colBreaks count="1" manualBreakCount="1">
    <brk id="9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20"/>
  <sheetViews>
    <sheetView view="pageBreakPreview" zoomScale="70" zoomScaleNormal="70" zoomScaleSheetLayoutView="70" workbookViewId="0">
      <selection activeCell="D5" sqref="D5"/>
    </sheetView>
  </sheetViews>
  <sheetFormatPr defaultColWidth="9.140625" defaultRowHeight="15.75" x14ac:dyDescent="0.25"/>
  <cols>
    <col min="1" max="1" width="6" style="1" customWidth="1"/>
    <col min="2" max="2" width="17.140625" style="1" customWidth="1"/>
    <col min="3" max="3" width="59.85546875" style="1" customWidth="1"/>
    <col min="4" max="4" width="11.140625" style="1" customWidth="1"/>
    <col min="5" max="5" width="16.42578125" style="1" bestFit="1" customWidth="1"/>
    <col min="6" max="9" width="13.140625" style="1" customWidth="1"/>
    <col min="10" max="10" width="17.5703125" style="1" customWidth="1"/>
    <col min="11" max="11" width="10.28515625" style="1" customWidth="1"/>
    <col min="12" max="12" width="9" style="1" customWidth="1"/>
    <col min="13" max="13" width="10" style="1" customWidth="1"/>
    <col min="14" max="14" width="10.7109375" style="1" customWidth="1"/>
    <col min="15" max="15" width="9.7109375" style="1" customWidth="1"/>
    <col min="16" max="16" width="12.42578125" style="1" customWidth="1"/>
    <col min="17" max="17" width="25" style="1" customWidth="1"/>
    <col min="18" max="18" width="15.5703125" style="1" customWidth="1"/>
    <col min="19" max="16384" width="9.140625" style="1"/>
  </cols>
  <sheetData>
    <row r="1" spans="1:22" ht="18.75" x14ac:dyDescent="0.25">
      <c r="A1" s="128" t="s">
        <v>66</v>
      </c>
      <c r="B1" s="128"/>
      <c r="C1" s="128"/>
      <c r="D1" s="128"/>
      <c r="E1" s="128"/>
      <c r="F1" s="128"/>
      <c r="G1" s="128"/>
      <c r="H1" s="128"/>
      <c r="I1" s="128"/>
      <c r="J1" s="35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spans="1:22" ht="18.75" x14ac:dyDescent="0.25">
      <c r="A2" s="125" t="s">
        <v>5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</row>
    <row r="3" spans="1:22" x14ac:dyDescent="0.25">
      <c r="J3" s="2"/>
      <c r="K3" s="2"/>
      <c r="L3" s="2"/>
      <c r="M3" s="2"/>
      <c r="N3" s="2"/>
      <c r="O3" s="2"/>
      <c r="P3" s="2"/>
      <c r="Q3" s="2"/>
      <c r="R3" s="2"/>
    </row>
    <row r="4" spans="1:22" s="6" customFormat="1" ht="63.75" customHeight="1" x14ac:dyDescent="0.25">
      <c r="A4" s="129" t="s">
        <v>67</v>
      </c>
      <c r="B4" s="129"/>
      <c r="C4" s="129"/>
      <c r="D4" s="145">
        <f>' акт заполняем первым'!D16</f>
        <v>0</v>
      </c>
      <c r="E4" s="145"/>
      <c r="F4" s="145"/>
      <c r="G4" s="145"/>
      <c r="H4" s="145"/>
      <c r="I4" s="145"/>
      <c r="J4" s="145"/>
      <c r="K4" s="55"/>
      <c r="L4" s="55"/>
      <c r="M4" s="32"/>
      <c r="N4" s="32"/>
      <c r="O4" s="32"/>
      <c r="P4" s="32"/>
      <c r="Q4" s="32"/>
      <c r="R4" s="32"/>
    </row>
    <row r="5" spans="1:22" s="6" customFormat="1" ht="31.5" customHeight="1" x14ac:dyDescent="0.25">
      <c r="A5" s="130" t="s">
        <v>68</v>
      </c>
      <c r="B5" s="130"/>
      <c r="C5" s="130"/>
      <c r="D5" s="6">
        <f>' акт заполняем первым'!F13</f>
        <v>0.4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22" x14ac:dyDescent="0.25">
      <c r="J6" s="3"/>
      <c r="K6" s="3"/>
      <c r="L6" s="3"/>
      <c r="M6" s="3"/>
      <c r="N6" s="3"/>
      <c r="O6" s="3"/>
      <c r="P6" s="3"/>
      <c r="Q6" s="3"/>
      <c r="R6" s="3"/>
    </row>
    <row r="7" spans="1:22" ht="62.25" customHeight="1" x14ac:dyDescent="0.25">
      <c r="A7" s="126" t="s">
        <v>1</v>
      </c>
      <c r="B7" s="131" t="s">
        <v>6</v>
      </c>
      <c r="C7" s="132"/>
      <c r="D7" s="126" t="s">
        <v>2</v>
      </c>
      <c r="E7" s="126" t="s">
        <v>7</v>
      </c>
      <c r="F7" s="141" t="s">
        <v>20</v>
      </c>
      <c r="G7" s="142"/>
      <c r="H7" s="141" t="s">
        <v>21</v>
      </c>
      <c r="I7" s="142"/>
      <c r="J7" s="126" t="s">
        <v>24</v>
      </c>
      <c r="K7" s="126" t="s">
        <v>8</v>
      </c>
      <c r="L7" s="141" t="s">
        <v>9</v>
      </c>
      <c r="M7" s="142"/>
      <c r="N7" s="131" t="s">
        <v>12</v>
      </c>
      <c r="O7" s="141" t="s">
        <v>13</v>
      </c>
      <c r="P7" s="142"/>
      <c r="Q7" s="126" t="s">
        <v>18</v>
      </c>
      <c r="R7" s="135" t="s">
        <v>19</v>
      </c>
    </row>
    <row r="8" spans="1:22" s="5" customFormat="1" ht="112.5" customHeight="1" x14ac:dyDescent="0.25">
      <c r="A8" s="127"/>
      <c r="B8" s="133"/>
      <c r="C8" s="134"/>
      <c r="D8" s="127"/>
      <c r="E8" s="127"/>
      <c r="F8" s="11" t="s">
        <v>16</v>
      </c>
      <c r="G8" s="11" t="s">
        <v>17</v>
      </c>
      <c r="H8" s="11" t="s">
        <v>16</v>
      </c>
      <c r="I8" s="11" t="s">
        <v>17</v>
      </c>
      <c r="J8" s="127"/>
      <c r="K8" s="127"/>
      <c r="L8" s="10" t="s">
        <v>10</v>
      </c>
      <c r="M8" s="10" t="s">
        <v>11</v>
      </c>
      <c r="N8" s="133"/>
      <c r="O8" s="10" t="s">
        <v>14</v>
      </c>
      <c r="P8" s="10" t="s">
        <v>15</v>
      </c>
      <c r="Q8" s="127"/>
      <c r="R8" s="136"/>
    </row>
    <row r="9" spans="1:22" ht="59.25" customHeight="1" x14ac:dyDescent="0.25">
      <c r="A9" s="9">
        <v>1</v>
      </c>
      <c r="B9" s="141"/>
      <c r="C9" s="142"/>
      <c r="D9" s="36"/>
      <c r="E9" s="37"/>
      <c r="F9" s="51"/>
      <c r="G9" s="51"/>
      <c r="H9" s="36" t="s">
        <v>72</v>
      </c>
      <c r="I9" s="36" t="s">
        <v>72</v>
      </c>
      <c r="J9" s="7"/>
      <c r="K9" s="7"/>
      <c r="L9" s="7">
        <f>D5</f>
        <v>0.4</v>
      </c>
      <c r="M9" s="7">
        <f>D5</f>
        <v>0.4</v>
      </c>
      <c r="N9" s="7"/>
      <c r="O9" s="8"/>
      <c r="P9" s="8"/>
      <c r="Q9" s="7"/>
      <c r="R9" s="13"/>
      <c r="S9"/>
      <c r="T9"/>
      <c r="U9"/>
      <c r="V9"/>
    </row>
    <row r="10" spans="1:22" ht="18" customHeight="1" x14ac:dyDescent="0.25">
      <c r="A10" s="140"/>
      <c r="B10" s="140"/>
      <c r="C10" s="140"/>
      <c r="D10" s="140"/>
      <c r="E10" s="140"/>
      <c r="F10" s="140"/>
      <c r="G10" s="140"/>
      <c r="H10" s="140"/>
      <c r="I10" s="140"/>
      <c r="J10" s="140"/>
      <c r="K10" s="140"/>
      <c r="L10" s="140"/>
      <c r="M10" s="140"/>
      <c r="N10" s="140"/>
      <c r="O10" s="140"/>
      <c r="P10" s="140"/>
      <c r="Q10" s="140"/>
      <c r="R10" s="140"/>
    </row>
    <row r="11" spans="1:22" ht="18" customHeight="1" x14ac:dyDescent="0.25">
      <c r="A11" s="138"/>
      <c r="B11" s="138"/>
      <c r="C11" s="138"/>
      <c r="D11" s="138"/>
      <c r="E11" s="138"/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</row>
    <row r="12" spans="1:22" x14ac:dyDescent="0.25">
      <c r="A12" s="143" t="s">
        <v>69</v>
      </c>
      <c r="B12" s="143"/>
      <c r="C12" s="143"/>
      <c r="D12" s="38">
        <f>SUM(N9:N10)/1000</f>
        <v>0</v>
      </c>
      <c r="E12" s="2" t="s">
        <v>53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</row>
    <row r="13" spans="1:22" ht="24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22" x14ac:dyDescent="0.25">
      <c r="A14" s="138" t="s">
        <v>3</v>
      </c>
      <c r="B14" s="138"/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</row>
    <row r="15" spans="1:22" x14ac:dyDescent="0.25">
      <c r="A15" s="138" t="s">
        <v>4</v>
      </c>
      <c r="B15" s="138"/>
      <c r="C15" s="138"/>
      <c r="D15" s="138"/>
      <c r="E15" s="138"/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</row>
    <row r="16" spans="1:22" ht="20.25" customHeight="1" x14ac:dyDescent="0.25">
      <c r="A16" s="144">
        <f>' акт заполняем первым'!G3</f>
        <v>0</v>
      </c>
      <c r="B16" s="144"/>
      <c r="C16" s="48" t="str">
        <f>' акт заполняем первым'!B20&amp;" " &amp;' акт заполняем первым'!H20</f>
        <v>Начальник СКС Захаренко Сергей Александрович</v>
      </c>
      <c r="D16" s="49"/>
      <c r="E16" s="49"/>
      <c r="F16" s="49"/>
      <c r="G16" s="42"/>
      <c r="H16" s="42"/>
      <c r="I16" s="42"/>
      <c r="J16" s="42"/>
      <c r="P16" s="42"/>
      <c r="Q16" s="42"/>
      <c r="R16" s="2"/>
    </row>
    <row r="17" spans="1:23" s="4" customFormat="1" ht="16.5" customHeight="1" x14ac:dyDescent="0.25">
      <c r="A17" s="139" t="s">
        <v>0</v>
      </c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139"/>
      <c r="P17" s="139"/>
      <c r="Q17" s="139"/>
      <c r="R17" s="12"/>
    </row>
    <row r="18" spans="1:23" ht="25.5" customHeight="1" x14ac:dyDescent="0.25">
      <c r="A18" s="138" t="s">
        <v>23</v>
      </c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W18" s="5"/>
    </row>
    <row r="19" spans="1:23" ht="21" customHeight="1" x14ac:dyDescent="0.25">
      <c r="A19" s="144">
        <f>' акт заполняем первым'!G3</f>
        <v>0</v>
      </c>
      <c r="B19" s="144"/>
      <c r="C19" s="48" t="str">
        <f>[1]Список!$B$3&amp;" "&amp;[1]Список!$D$3</f>
        <v>директор Красильников Денис Николаевич</v>
      </c>
      <c r="D19" s="48"/>
      <c r="E19" s="48"/>
      <c r="F19" s="48"/>
      <c r="G19" s="2"/>
      <c r="H19" s="2"/>
      <c r="I19" s="2"/>
      <c r="J19" s="2"/>
      <c r="K19" s="2"/>
      <c r="L19" s="2"/>
      <c r="M19" s="2"/>
      <c r="N19" s="2"/>
      <c r="O19" s="2"/>
      <c r="W19" s="5"/>
    </row>
    <row r="20" spans="1:23" ht="16.5" customHeight="1" x14ac:dyDescent="0.25">
      <c r="A20" s="137" t="s">
        <v>22</v>
      </c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W20" s="5"/>
    </row>
  </sheetData>
  <mergeCells count="29">
    <mergeCell ref="F7:G7"/>
    <mergeCell ref="H7:I7"/>
    <mergeCell ref="A20:O20"/>
    <mergeCell ref="A15:Q15"/>
    <mergeCell ref="A17:Q17"/>
    <mergeCell ref="A10:R10"/>
    <mergeCell ref="B9:C9"/>
    <mergeCell ref="A14:Q14"/>
    <mergeCell ref="A11:R11"/>
    <mergeCell ref="A12:C12"/>
    <mergeCell ref="A16:B16"/>
    <mergeCell ref="A19:B19"/>
    <mergeCell ref="A18:O18"/>
    <mergeCell ref="A2:U2"/>
    <mergeCell ref="J7:J8"/>
    <mergeCell ref="Q7:Q8"/>
    <mergeCell ref="A1:I1"/>
    <mergeCell ref="A4:C4"/>
    <mergeCell ref="A5:C5"/>
    <mergeCell ref="B7:C8"/>
    <mergeCell ref="A7:A8"/>
    <mergeCell ref="D7:D8"/>
    <mergeCell ref="R7:R8"/>
    <mergeCell ref="E7:E8"/>
    <mergeCell ref="K7:K8"/>
    <mergeCell ref="N7:N8"/>
    <mergeCell ref="D4:J4"/>
    <mergeCell ref="L7:M7"/>
    <mergeCell ref="O7:P7"/>
  </mergeCells>
  <printOptions horizontalCentered="1"/>
  <pageMargins left="0.31496062992125984" right="0.23622047244094491" top="0.23622047244094491" bottom="0.31496062992125984" header="0" footer="0"/>
  <pageSetup paperSize="9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</vt:i4>
      </vt:variant>
    </vt:vector>
  </HeadingPairs>
  <TitlesOfParts>
    <vt:vector size="5" baseType="lpstr">
      <vt:lpstr> акт заполняем первым</vt:lpstr>
      <vt:lpstr>Лист осмотра КЛ заполняем втор</vt:lpstr>
      <vt:lpstr>'Лист осмотра КЛ заполняем втор'!Заголовки_для_печати</vt:lpstr>
      <vt:lpstr>' акт заполняем первым'!Область_печати</vt:lpstr>
      <vt:lpstr>'Лист осмотра КЛ заполняем втор'!Область_печати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2026-06-29T18:55:48Z</dcterms:modified>
</cp:coreProperties>
</file>